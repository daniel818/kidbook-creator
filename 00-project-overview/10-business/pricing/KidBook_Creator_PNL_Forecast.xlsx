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ssumptions" sheetId="2" r:id="rId5"/>
    <sheet name="Monthly P&amp;L" sheetId="3" r:id="rId6"/>
    <sheet name="Sensitivity Analysis" sheetId="4" r:id="rId7"/>
    <sheet name="Summary Dashboard" sheetId="5" r:id="rId8"/>
  </sheets>
</workbook>
</file>

<file path=xl/sharedStrings.xml><?xml version="1.0" encoding="utf-8"?>
<sst xmlns="http://schemas.openxmlformats.org/spreadsheetml/2006/main" uniqueCount="104">
  <si>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</si>
  <si>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</si>
  <si>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</si>
  <si>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</si>
  <si>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Assumptions</t>
  </si>
  <si>
    <t>Table 1</t>
  </si>
  <si>
    <t>KIDBOOK CREATOR - P&amp;L FORECASTING MODEL</t>
  </si>
  <si>
    <t>Version 2.0 | Last Updated: 2026-01-29</t>
  </si>
  <si>
    <t>FIXED MONTHLY COSTS</t>
  </si>
  <si>
    <t>Supabase Pro</t>
  </si>
  <si>
    <t>Netlify</t>
  </si>
  <si>
    <t>Buffer for Additional Services</t>
  </si>
  <si>
    <t>TOTAL FIXED MONTHLY</t>
  </si>
  <si>
    <t>ONE-TIME SETUP COSTS</t>
  </si>
  <si>
    <t>Gemini API Credits</t>
  </si>
  <si>
    <t>Domain Registration</t>
  </si>
  <si>
    <t>Example Books Creation</t>
  </si>
  <si>
    <t>Friends &amp; Family Testing</t>
  </si>
  <si>
    <t>TOTAL SETUP COSTS</t>
  </si>
  <si>
    <t>PRICING</t>
  </si>
  <si>
    <t>Digital Book (PDF)</t>
  </si>
  <si>
    <t>Printed Hardcover Book</t>
  </si>
  <si>
    <t>CONVERSION FUNNEL (EDITABLE)</t>
  </si>
  <si>
    <t>Preview → Digital Conversion</t>
  </si>
  <si>
    <t>← Edit this</t>
  </si>
  <si>
    <t>Preview → Printed Conversion</t>
  </si>
  <si>
    <t>VARIABLE COSTS - PREVIEW</t>
  </si>
  <si>
    <t>AI Generation (1 image + text)</t>
  </si>
  <si>
    <t>VARIABLE COSTS - DIGITAL BOOK</t>
  </si>
  <si>
    <t>AI Generation</t>
  </si>
  <si>
    <t>Storage (permanent)</t>
  </si>
  <si>
    <t>Payment Processing (2.9% + $0.30)</t>
  </si>
  <si>
    <t>TOTAL COST PER DIGITAL</t>
  </si>
  <si>
    <t>VARIABLE COSTS - PRINTED HARDCOVER</t>
  </si>
  <si>
    <t>Printing (Lulu - 24 pages)</t>
  </si>
  <si>
    <t>Shipping (EU average)</t>
  </si>
  <si>
    <t>TOTAL COST PER PRINTED</t>
  </si>
  <si>
    <t>Monthly P&amp;L</t>
  </si>
  <si>
    <t>KIDBOOK CREATOR - 12 MONTH P&amp;L PROJECTION</t>
  </si>
  <si>
    <t>MONTH</t>
  </si>
  <si>
    <t>Jan</t>
  </si>
  <si>
    <t>Feb</t>
  </si>
  <si>
    <t>Mar</t>
  </si>
  <si>
    <t>Apr</t>
  </si>
  <si>
    <t>May</t>
  </si>
  <si>
    <t>Jun</t>
  </si>
  <si>
    <t>Jul</t>
  </si>
  <si>
    <t>Aug</t>
  </si>
  <si>
    <t>Sep</t>
  </si>
  <si>
    <t>Oct</t>
  </si>
  <si>
    <t>Nov</t>
  </si>
  <si>
    <t>Dec</t>
  </si>
  <si>
    <t>TOTAL</t>
  </si>
  <si>
    <t>VOLUME METRICS (EDITABLE)</t>
  </si>
  <si>
    <t>Preview Generations</t>
  </si>
  <si>
    <t>Digital Conversions (2%)</t>
  </si>
  <si>
    <t>Printed Conversions (2%)</t>
  </si>
  <si>
    <t>REVENUE</t>
  </si>
  <si>
    <t>Digital Books ($15 each)</t>
  </si>
  <si>
    <t>Printed Books ($45 each)</t>
  </si>
  <si>
    <t>TOTAL REVENUE</t>
  </si>
  <si>
    <t>VARIABLE COSTS</t>
  </si>
  <si>
    <t>Preview Generation Costs</t>
  </si>
  <si>
    <t>Digital Book Costs</t>
  </si>
  <si>
    <t>Printed Book Costs</t>
  </si>
  <si>
    <t>Refunds (3% of revenue)</t>
  </si>
  <si>
    <t>Failed Prints (1.5%)</t>
  </si>
  <si>
    <t>TOTAL VARIABLE COSTS</t>
  </si>
  <si>
    <t>GROSS PROFIT</t>
  </si>
  <si>
    <t>Gross Margin %</t>
  </si>
  <si>
    <t>FIXED COSTS</t>
  </si>
  <si>
    <t>Monthly Fixed Costs</t>
  </si>
  <si>
    <t>NET PROFIT</t>
  </si>
  <si>
    <t>Net Margin %</t>
  </si>
  <si>
    <t>Sensitivity Analysis</t>
  </si>
  <si>
    <t>SENSITIVITY ANALYSIS</t>
  </si>
  <si>
    <t>CONVERSION RATE IMPACT</t>
  </si>
  <si>
    <t>(Monthly: 300 Previews)</t>
  </si>
  <si>
    <t>Conversion Rate</t>
  </si>
  <si>
    <t>Total Conversions</t>
  </si>
  <si>
    <t>Revenue</t>
  </si>
  <si>
    <t>Variable Costs</t>
  </si>
  <si>
    <t>Net Profit</t>
  </si>
  <si>
    <t>PRICING IMPACT</t>
  </si>
  <si>
    <t>(Monthly: 300 Previews, 4% Conversion)</t>
  </si>
  <si>
    <t>Printed Book Price</t>
  </si>
  <si>
    <t>Total Revenue</t>
  </si>
  <si>
    <t>Summary Dashboard</t>
  </si>
  <si>
    <t>KIDBOOK CREATOR - EXECUTIVE SUMMARY</t>
  </si>
  <si>
    <t>KEY METRICS (Year 1)</t>
  </si>
  <si>
    <t>Total Preview Generations</t>
  </si>
  <si>
    <t>FINANCIAL PERFORMANCE</t>
  </si>
  <si>
    <t>Gross Profit</t>
  </si>
  <si>
    <t>UNIT ECONOMICS</t>
  </si>
  <si>
    <t>Per Digital Book:</t>
  </si>
  <si>
    <t xml:space="preserve">  Revenue</t>
  </si>
  <si>
    <t xml:space="preserve">  Cost</t>
  </si>
  <si>
    <t xml:space="preserve">  Gross Profit</t>
  </si>
  <si>
    <t>91.6%</t>
  </si>
  <si>
    <t>Per Printed Book:</t>
  </si>
  <si>
    <t>36.4%</t>
  </si>
  <si>
    <t>BREAK-EVEN ANALYSIS</t>
  </si>
  <si>
    <t>Previews needed per month</t>
  </si>
  <si>
    <t>Conversions needed per month</t>
  </si>
</sst>
</file>

<file path=xl/styles.xml><?xml version="1.0" encoding="utf-8"?>
<styleSheet xmlns="http://schemas.openxmlformats.org/spreadsheetml/2006/main">
  <numFmts count="4">
    <numFmt numFmtId="0" formatCode="General"/>
    <numFmt numFmtId="59" formatCode="[$$-409]#,##0.00"/>
    <numFmt numFmtId="60" formatCode="0.0%"/>
    <numFmt numFmtId="61" formatCode="0.0"/>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Calibri"/>
    </font>
    <font>
      <b val="1"/>
      <sz val="11"/>
      <color indexed="8"/>
      <name val="Calibri"/>
    </font>
    <font>
      <b val="1"/>
      <sz val="12"/>
      <color indexed="14"/>
      <name val="Calibri"/>
    </font>
    <font>
      <b val="1"/>
      <sz val="12"/>
      <color indexed="8"/>
      <name val="Calibri"/>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12">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right/>
      <top/>
      <bottom/>
      <diagonal/>
    </border>
    <border>
      <left/>
      <right style="thin">
        <color indexed="12"/>
      </right>
      <top/>
      <bottom/>
      <diagonal/>
    </border>
    <border>
      <left style="thin">
        <color indexed="12"/>
      </left>
      <right style="thin">
        <color indexed="12"/>
      </right>
      <top/>
      <bottom/>
      <diagonal/>
    </border>
    <border>
      <left/>
      <right style="thin">
        <color indexed="12"/>
      </right>
      <top style="thin">
        <color indexed="12"/>
      </top>
      <bottom/>
      <diagonal/>
    </border>
    <border>
      <left style="thin">
        <color indexed="12"/>
      </left>
      <right/>
      <top/>
      <bottom style="thin">
        <color indexed="12"/>
      </bottom>
      <diagonal/>
    </border>
    <border>
      <left style="thin">
        <color indexed="12"/>
      </left>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5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7" fillId="4" borderId="3" applyNumberFormat="1" applyFont="1" applyFill="1"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59" fontId="0" borderId="1" applyNumberFormat="1" applyFont="1" applyFill="0" applyBorder="1" applyAlignment="1" applyProtection="0">
      <alignment vertical="bottom"/>
    </xf>
    <xf numFmtId="49" fontId="7" borderId="1" applyNumberFormat="1" applyFont="1" applyFill="0" applyBorder="1" applyAlignment="1" applyProtection="0">
      <alignment vertical="bottom"/>
    </xf>
    <xf numFmtId="59" fontId="7" borderId="1" applyNumberFormat="1" applyFont="1" applyFill="0" applyBorder="1" applyAlignment="1" applyProtection="0">
      <alignment vertical="bottom"/>
    </xf>
    <xf numFmtId="6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8" fillId="5" borderId="3" applyNumberFormat="1" applyFont="1" applyFill="1" applyBorder="1" applyAlignment="1" applyProtection="0">
      <alignment vertical="bottom"/>
    </xf>
    <xf numFmtId="49" fontId="8" fillId="5" borderId="6" applyNumberFormat="1" applyFont="1" applyFill="1" applyBorder="1" applyAlignment="1" applyProtection="0">
      <alignment horizontal="center" vertical="bottom"/>
    </xf>
    <xf numFmtId="49" fontId="8" fillId="5" borderId="7" applyNumberFormat="1" applyFont="1" applyFill="1" applyBorder="1" applyAlignment="1" applyProtection="0">
      <alignment vertical="bottom"/>
    </xf>
    <xf numFmtId="0" fontId="0" borderId="8"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0" borderId="10" applyNumberFormat="1" applyFont="1" applyFill="0" applyBorder="1" applyAlignment="1" applyProtection="0">
      <alignment vertical="bottom"/>
    </xf>
    <xf numFmtId="0" fontId="0" fillId="6" borderId="6" applyNumberFormat="1" applyFont="1" applyFill="1" applyBorder="1" applyAlignment="1" applyProtection="0">
      <alignment vertical="bottom"/>
    </xf>
    <xf numFmtId="0" fontId="7" borderId="4" applyNumberFormat="1" applyFont="1" applyFill="0" applyBorder="1" applyAlignment="1" applyProtection="0">
      <alignment vertical="bottom"/>
    </xf>
    <xf numFmtId="61" fontId="0" borderId="5"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7" borderId="11" applyNumberFormat="1" applyFont="1" applyFill="0" applyBorder="1" applyAlignment="1" applyProtection="0">
      <alignment vertical="bottom"/>
    </xf>
    <xf numFmtId="59" fontId="7" fillId="7" borderId="6" applyNumberFormat="1" applyFont="1" applyFill="1" applyBorder="1" applyAlignment="1" applyProtection="0">
      <alignment vertical="bottom"/>
    </xf>
    <xf numFmtId="59" fontId="7" fillId="7" borderId="7" applyNumberFormat="1" applyFont="1" applyFill="1" applyBorder="1" applyAlignment="1" applyProtection="0">
      <alignment vertical="bottom"/>
    </xf>
    <xf numFmtId="60" fontId="0" borderId="5" applyNumberFormat="1" applyFont="1" applyFill="0" applyBorder="1" applyAlignment="1" applyProtection="0">
      <alignment vertical="bottom"/>
    </xf>
    <xf numFmtId="49" fontId="9" borderId="11" applyNumberFormat="1" applyFont="1" applyFill="0" applyBorder="1" applyAlignment="1" applyProtection="0">
      <alignment vertical="bottom"/>
    </xf>
    <xf numFmtId="59" fontId="7" fillId="8" borderId="6" applyNumberFormat="1" applyFont="1" applyFill="1" applyBorder="1" applyAlignment="1" applyProtection="0">
      <alignment vertical="bottom"/>
    </xf>
    <xf numFmtId="59" fontId="7" fillId="8" borderId="7" applyNumberFormat="1" applyFont="1" applyFill="1" applyBorder="1" applyAlignment="1" applyProtection="0">
      <alignment vertical="bottom"/>
    </xf>
    <xf numFmtId="0" fontId="0" applyNumberFormat="1" applyFont="1" applyFill="0" applyBorder="0" applyAlignment="1" applyProtection="0">
      <alignment vertical="bottom"/>
    </xf>
    <xf numFmtId="49" fontId="0" borderId="11" applyNumberFormat="1" applyFont="1" applyFill="0" applyBorder="1" applyAlignment="1" applyProtection="0">
      <alignment vertical="bottom"/>
    </xf>
    <xf numFmtId="60" fontId="7" fillId="9" borderId="6" applyNumberFormat="1" applyFont="1" applyFill="1" applyBorder="1" applyAlignment="1" applyProtection="0">
      <alignment vertical="bottom"/>
    </xf>
    <xf numFmtId="60" fontId="7" fillId="9" borderId="7" applyNumberFormat="1" applyFont="1" applyFill="1" applyBorder="1" applyAlignment="1" applyProtection="0">
      <alignment vertical="bottom"/>
    </xf>
    <xf numFmtId="59" fontId="7" fillId="9" borderId="6" applyNumberFormat="1" applyFont="1" applyFill="1" applyBorder="1" applyAlignment="1" applyProtection="0">
      <alignment vertical="bottom"/>
    </xf>
    <xf numFmtId="59" fontId="7" fillId="9" borderId="7" applyNumberFormat="1" applyFont="1" applyFill="1" applyBorder="1" applyAlignment="1" applyProtection="0">
      <alignment vertical="bottom"/>
    </xf>
    <xf numFmtId="59" fontId="0" borderId="5" applyNumberFormat="1" applyFont="1" applyFill="0" applyBorder="1" applyAlignment="1" applyProtection="0">
      <alignment vertical="bottom"/>
    </xf>
    <xf numFmtId="0" fontId="0" applyNumberFormat="1" applyFont="1" applyFill="0" applyBorder="0" applyAlignment="1" applyProtection="0">
      <alignment vertical="bottom"/>
    </xf>
    <xf numFmtId="0" fontId="9" borderId="1" applyNumberFormat="1" applyFont="1" applyFill="0" applyBorder="1" applyAlignment="1" applyProtection="0">
      <alignment vertical="bottom"/>
    </xf>
    <xf numFmtId="61" fontId="9" borderId="1" applyNumberFormat="1" applyFont="1" applyFill="0" applyBorder="1" applyAlignment="1" applyProtection="0">
      <alignment vertical="bottom"/>
    </xf>
    <xf numFmtId="59" fontId="9" borderId="1" applyNumberFormat="1" applyFont="1" applyFill="0" applyBorder="1" applyAlignment="1" applyProtection="0">
      <alignment vertical="bottom"/>
    </xf>
    <xf numFmtId="59" fontId="9" borderId="2" applyNumberFormat="1" applyFont="1" applyFill="0" applyBorder="1" applyAlignment="1" applyProtection="0">
      <alignment vertical="bottom"/>
    </xf>
    <xf numFmtId="59" fontId="9" fillId="8" borderId="6" applyNumberFormat="1" applyFont="1" applyFill="1" applyBorder="1" applyAlignment="1" applyProtection="0">
      <alignment vertical="bottom"/>
    </xf>
    <xf numFmtId="0" fontId="7" borderId="1" applyNumberFormat="1" applyFont="1" applyFill="0" applyBorder="1" applyAlignment="1" applyProtection="0">
      <alignment vertical="bottom"/>
    </xf>
    <xf numFmtId="61" fontId="7"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b4c7e7"/>
      <rgbColor rgb="ffffffff"/>
      <rgbColor rgb="ff4472c4"/>
      <rgbColor rgb="fffff2cc"/>
      <rgbColor rgb="ffe2efda"/>
      <rgbColor rgb="ffc6e0b4"/>
      <rgbColor rgb="ffd9e1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37</v>
      </c>
      <c r="C11" s="3"/>
      <c r="D11" s="3"/>
    </row>
    <row r="12">
      <c r="B12" s="4"/>
      <c r="C12" t="s" s="4">
        <v>5</v>
      </c>
      <c r="D12" t="s" s="5">
        <v>37</v>
      </c>
    </row>
    <row r="13">
      <c r="B13" t="s" s="3">
        <v>74</v>
      </c>
      <c r="C13" s="3"/>
      <c r="D13" s="3"/>
    </row>
    <row r="14">
      <c r="B14" s="4"/>
      <c r="C14" t="s" s="4">
        <v>5</v>
      </c>
      <c r="D14" t="s" s="5">
        <v>74</v>
      </c>
    </row>
    <row r="15">
      <c r="B15" t="s" s="3">
        <v>87</v>
      </c>
      <c r="C15" s="3"/>
      <c r="D15" s="3"/>
    </row>
    <row r="16">
      <c r="B16" s="4"/>
      <c r="C16" t="s" s="4">
        <v>5</v>
      </c>
      <c r="D16" t="s" s="5">
        <v>87</v>
      </c>
    </row>
  </sheetData>
  <mergeCells count="1">
    <mergeCell ref="B3:D3"/>
  </mergeCells>
  <hyperlinks>
    <hyperlink ref="D10" location="'Assumptions'!R1C1" tooltip="" display="Assumptions"/>
    <hyperlink ref="D12" location="'Monthly P&amp;L'!R1C1" tooltip="" display="Monthly P&amp;L"/>
    <hyperlink ref="D14" location="'Sensitivity Analysis'!R1C1" tooltip="" display="Sensitivity Analysis"/>
    <hyperlink ref="D16" location="'Summary Dashboard'!R1C1" tooltip="" display="Summary Dashboard"/>
  </hyperlinks>
</worksheet>
</file>

<file path=xl/worksheets/sheet2.xml><?xml version="1.0" encoding="utf-8"?>
<worksheet xmlns:r="http://schemas.openxmlformats.org/officeDocument/2006/relationships" xmlns="http://schemas.openxmlformats.org/spreadsheetml/2006/main">
  <dimension ref="A1:E42"/>
  <sheetViews>
    <sheetView workbookViewId="0" showGridLines="0" defaultGridColor="1"/>
  </sheetViews>
  <sheetFormatPr defaultColWidth="8.83333" defaultRowHeight="15" customHeight="1" outlineLevelRow="0" outlineLevelCol="0"/>
  <cols>
    <col min="1" max="1" width="35" style="6" customWidth="1"/>
    <col min="2" max="2" width="15" style="6" customWidth="1"/>
    <col min="3" max="3" width="20" style="6" customWidth="1"/>
    <col min="4" max="5" width="8.85156" style="6" customWidth="1"/>
    <col min="6" max="16384" width="8.85156" style="6" customWidth="1"/>
  </cols>
  <sheetData>
    <row r="1" ht="17.9" customHeight="1">
      <c r="A1" t="s" s="7">
        <v>6</v>
      </c>
      <c r="B1" s="8"/>
      <c r="C1" s="8"/>
      <c r="D1" s="8"/>
      <c r="E1" s="8"/>
    </row>
    <row r="2" ht="13.55" customHeight="1">
      <c r="A2" t="s" s="9">
        <v>7</v>
      </c>
      <c r="B2" s="8"/>
      <c r="C2" s="8"/>
      <c r="D2" s="8"/>
      <c r="E2" s="8"/>
    </row>
    <row r="3" ht="13.55" customHeight="1">
      <c r="A3" s="10"/>
      <c r="B3" s="8"/>
      <c r="C3" s="8"/>
      <c r="D3" s="8"/>
      <c r="E3" s="8"/>
    </row>
    <row r="4" ht="13.55" customHeight="1">
      <c r="A4" t="s" s="11">
        <v>8</v>
      </c>
      <c r="B4" s="12"/>
      <c r="C4" s="8"/>
      <c r="D4" s="8"/>
      <c r="E4" s="8"/>
    </row>
    <row r="5" ht="13.55" customHeight="1">
      <c r="A5" t="s" s="13">
        <v>9</v>
      </c>
      <c r="B5" s="14">
        <v>25</v>
      </c>
      <c r="C5" s="8"/>
      <c r="D5" s="8"/>
      <c r="E5" s="8"/>
    </row>
    <row r="6" ht="13.55" customHeight="1">
      <c r="A6" t="s" s="9">
        <v>10</v>
      </c>
      <c r="B6" s="14">
        <v>9</v>
      </c>
      <c r="C6" s="8"/>
      <c r="D6" s="8"/>
      <c r="E6" s="8"/>
    </row>
    <row r="7" ht="13.55" customHeight="1">
      <c r="A7" t="s" s="9">
        <v>11</v>
      </c>
      <c r="B7" s="14">
        <v>100</v>
      </c>
      <c r="C7" s="8"/>
      <c r="D7" s="8"/>
      <c r="E7" s="8"/>
    </row>
    <row r="8" ht="13.55" customHeight="1">
      <c r="A8" t="s" s="15">
        <v>12</v>
      </c>
      <c r="B8" s="16">
        <v>134</v>
      </c>
      <c r="C8" s="8"/>
      <c r="D8" s="8"/>
      <c r="E8" s="8"/>
    </row>
    <row r="9" ht="13.55" customHeight="1">
      <c r="A9" s="10"/>
      <c r="B9" s="8"/>
      <c r="C9" s="8"/>
      <c r="D9" s="8"/>
      <c r="E9" s="8"/>
    </row>
    <row r="10" ht="13.55" customHeight="1">
      <c r="A10" t="s" s="11">
        <v>13</v>
      </c>
      <c r="B10" s="12"/>
      <c r="C10" s="8"/>
      <c r="D10" s="8"/>
      <c r="E10" s="8"/>
    </row>
    <row r="11" ht="13.55" customHeight="1">
      <c r="A11" t="s" s="13">
        <v>14</v>
      </c>
      <c r="B11" s="14">
        <v>150</v>
      </c>
      <c r="C11" s="8"/>
      <c r="D11" s="8"/>
      <c r="E11" s="8"/>
    </row>
    <row r="12" ht="13.55" customHeight="1">
      <c r="A12" t="s" s="9">
        <v>15</v>
      </c>
      <c r="B12" s="14">
        <v>100</v>
      </c>
      <c r="C12" s="8"/>
      <c r="D12" s="8"/>
      <c r="E12" s="8"/>
    </row>
    <row r="13" ht="13.55" customHeight="1">
      <c r="A13" t="s" s="9">
        <v>16</v>
      </c>
      <c r="B13" s="14">
        <v>75</v>
      </c>
      <c r="C13" s="8"/>
      <c r="D13" s="8"/>
      <c r="E13" s="8"/>
    </row>
    <row r="14" ht="13.55" customHeight="1">
      <c r="A14" t="s" s="9">
        <v>17</v>
      </c>
      <c r="B14" s="14">
        <v>350</v>
      </c>
      <c r="C14" s="8"/>
      <c r="D14" s="8"/>
      <c r="E14" s="8"/>
    </row>
    <row r="15" ht="13.55" customHeight="1">
      <c r="A15" t="s" s="15">
        <v>18</v>
      </c>
      <c r="B15" s="16">
        <v>675</v>
      </c>
      <c r="C15" s="8"/>
      <c r="D15" s="8"/>
      <c r="E15" s="8"/>
    </row>
    <row r="16" ht="13.55" customHeight="1">
      <c r="A16" s="10"/>
      <c r="B16" s="8"/>
      <c r="C16" s="8"/>
      <c r="D16" s="8"/>
      <c r="E16" s="8"/>
    </row>
    <row r="17" ht="13.55" customHeight="1">
      <c r="A17" t="s" s="11">
        <v>19</v>
      </c>
      <c r="B17" s="12"/>
      <c r="C17" s="8"/>
      <c r="D17" s="8"/>
      <c r="E17" s="8"/>
    </row>
    <row r="18" ht="13.55" customHeight="1">
      <c r="A18" t="s" s="13">
        <v>20</v>
      </c>
      <c r="B18" s="14">
        <v>15</v>
      </c>
      <c r="C18" s="8"/>
      <c r="D18" s="8"/>
      <c r="E18" s="8"/>
    </row>
    <row r="19" ht="13.55" customHeight="1">
      <c r="A19" t="s" s="9">
        <v>21</v>
      </c>
      <c r="B19" s="14">
        <v>45</v>
      </c>
      <c r="C19" s="8"/>
      <c r="D19" s="8"/>
      <c r="E19" s="8"/>
    </row>
    <row r="20" ht="13.55" customHeight="1">
      <c r="A20" s="10"/>
      <c r="B20" s="8"/>
      <c r="C20" s="8"/>
      <c r="D20" s="8"/>
      <c r="E20" s="8"/>
    </row>
    <row r="21" ht="13.55" customHeight="1">
      <c r="A21" t="s" s="11">
        <v>22</v>
      </c>
      <c r="B21" s="12"/>
      <c r="C21" s="8"/>
      <c r="D21" s="8"/>
      <c r="E21" s="8"/>
    </row>
    <row r="22" ht="13.55" customHeight="1">
      <c r="A22" t="s" s="13">
        <v>23</v>
      </c>
      <c r="B22" s="17">
        <v>0.03</v>
      </c>
      <c r="C22" t="s" s="9">
        <v>24</v>
      </c>
      <c r="D22" s="8"/>
      <c r="E22" s="8"/>
    </row>
    <row r="23" ht="13.55" customHeight="1">
      <c r="A23" t="s" s="9">
        <v>25</v>
      </c>
      <c r="B23" s="17">
        <v>0.03</v>
      </c>
      <c r="C23" t="s" s="9">
        <v>24</v>
      </c>
      <c r="D23" s="8"/>
      <c r="E23" s="8"/>
    </row>
    <row r="24" ht="13.55" customHeight="1">
      <c r="A24" s="10"/>
      <c r="B24" s="8"/>
      <c r="C24" s="8"/>
      <c r="D24" s="8"/>
      <c r="E24" s="8"/>
    </row>
    <row r="25" ht="13.55" customHeight="1">
      <c r="A25" t="s" s="11">
        <v>26</v>
      </c>
      <c r="B25" s="12"/>
      <c r="C25" s="8"/>
      <c r="D25" s="8"/>
      <c r="E25" s="8"/>
    </row>
    <row r="26" ht="13.55" customHeight="1">
      <c r="A26" t="s" s="13">
        <v>27</v>
      </c>
      <c r="B26" s="14">
        <v>0.09</v>
      </c>
      <c r="C26" s="8"/>
      <c r="D26" s="8"/>
      <c r="E26" s="8"/>
    </row>
    <row r="27" ht="13.55" customHeight="1">
      <c r="A27" s="10"/>
      <c r="B27" s="8"/>
      <c r="C27" s="8"/>
      <c r="D27" s="8"/>
      <c r="E27" s="8"/>
    </row>
    <row r="28" ht="13.55" customHeight="1">
      <c r="A28" t="s" s="11">
        <v>28</v>
      </c>
      <c r="B28" s="12"/>
      <c r="C28" s="8"/>
      <c r="D28" s="8"/>
      <c r="E28" s="8"/>
    </row>
    <row r="29" ht="13.55" customHeight="1">
      <c r="A29" t="s" s="13">
        <v>29</v>
      </c>
      <c r="B29" s="14">
        <v>0.5</v>
      </c>
      <c r="C29" s="8"/>
      <c r="D29" s="8"/>
      <c r="E29" s="8"/>
    </row>
    <row r="30" ht="13.55" customHeight="1">
      <c r="A30" t="s" s="9">
        <v>30</v>
      </c>
      <c r="B30" s="14">
        <v>0.02</v>
      </c>
      <c r="C30" s="8"/>
      <c r="D30" s="8"/>
      <c r="E30" s="8"/>
    </row>
    <row r="31" ht="13.55" customHeight="1">
      <c r="A31" t="s" s="9">
        <v>31</v>
      </c>
      <c r="B31" s="14">
        <v>0.74</v>
      </c>
      <c r="C31" s="8"/>
      <c r="D31" s="8"/>
      <c r="E31" s="8"/>
    </row>
    <row r="32" ht="13.55" customHeight="1">
      <c r="A32" t="s" s="15">
        <v>32</v>
      </c>
      <c r="B32" s="16">
        <v>1.26</v>
      </c>
      <c r="C32" s="8"/>
      <c r="D32" s="8"/>
      <c r="E32" s="8"/>
    </row>
    <row r="33" ht="13.55" customHeight="1">
      <c r="A33" s="10"/>
      <c r="B33" s="8"/>
      <c r="C33" s="8"/>
      <c r="D33" s="8"/>
      <c r="E33" s="8"/>
    </row>
    <row r="34" ht="13.55" customHeight="1">
      <c r="A34" t="s" s="11">
        <v>33</v>
      </c>
      <c r="B34" s="12"/>
      <c r="C34" s="8"/>
      <c r="D34" s="8"/>
      <c r="E34" s="8"/>
    </row>
    <row r="35" ht="13.55" customHeight="1">
      <c r="A35" t="s" s="13">
        <v>29</v>
      </c>
      <c r="B35" s="14">
        <v>0.5</v>
      </c>
      <c r="C35" s="8"/>
      <c r="D35" s="8"/>
      <c r="E35" s="8"/>
    </row>
    <row r="36" ht="13.55" customHeight="1">
      <c r="A36" t="s" s="9">
        <v>30</v>
      </c>
      <c r="B36" s="14">
        <v>0.02</v>
      </c>
      <c r="C36" s="8"/>
      <c r="D36" s="8"/>
      <c r="E36" s="8"/>
    </row>
    <row r="37" ht="13.55" customHeight="1">
      <c r="A37" t="s" s="9">
        <v>34</v>
      </c>
      <c r="B37" s="14">
        <v>14.5</v>
      </c>
      <c r="C37" s="8"/>
      <c r="D37" s="8"/>
      <c r="E37" s="8"/>
    </row>
    <row r="38" ht="13.55" customHeight="1">
      <c r="A38" t="s" s="9">
        <v>35</v>
      </c>
      <c r="B38" s="14">
        <v>12</v>
      </c>
      <c r="C38" s="8"/>
      <c r="D38" s="8"/>
      <c r="E38" s="8"/>
    </row>
    <row r="39" ht="13.55" customHeight="1">
      <c r="A39" t="s" s="9">
        <v>31</v>
      </c>
      <c r="B39" s="14">
        <v>1.61</v>
      </c>
      <c r="C39" s="8"/>
      <c r="D39" s="8"/>
      <c r="E39" s="8"/>
    </row>
    <row r="40" ht="13.55" customHeight="1">
      <c r="A40" t="s" s="15">
        <v>36</v>
      </c>
      <c r="B40" s="16">
        <v>28.63</v>
      </c>
      <c r="C40" s="8"/>
      <c r="D40" s="8"/>
      <c r="E40" s="8"/>
    </row>
    <row r="41" ht="13.55" customHeight="1">
      <c r="A41" s="8"/>
      <c r="B41" s="8"/>
      <c r="C41" s="8"/>
      <c r="D41" s="8"/>
      <c r="E41" s="8"/>
    </row>
    <row r="42" ht="13.55" customHeight="1">
      <c r="A42" s="8"/>
      <c r="B42" s="8"/>
      <c r="C42" s="8"/>
      <c r="D42" s="8"/>
      <c r="E42"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30"/>
  <sheetViews>
    <sheetView workbookViewId="0" showGridLines="0" defaultGridColor="1"/>
  </sheetViews>
  <sheetFormatPr defaultColWidth="8.83333" defaultRowHeight="15" customHeight="1" outlineLevelRow="0" outlineLevelCol="0"/>
  <cols>
    <col min="1" max="1" width="30" style="18" customWidth="1"/>
    <col min="2" max="14" width="12" style="18" customWidth="1"/>
    <col min="15" max="16384" width="8.85156" style="18" customWidth="1"/>
  </cols>
  <sheetData>
    <row r="1" ht="17.9" customHeight="1">
      <c r="A1" t="s" s="7">
        <v>38</v>
      </c>
      <c r="B1" s="8"/>
      <c r="C1" s="8"/>
      <c r="D1" s="8"/>
      <c r="E1" s="8"/>
      <c r="F1" s="8"/>
      <c r="G1" s="8"/>
      <c r="H1" s="8"/>
      <c r="I1" s="8"/>
      <c r="J1" s="8"/>
      <c r="K1" s="8"/>
      <c r="L1" s="8"/>
      <c r="M1" s="8"/>
      <c r="N1" s="8"/>
    </row>
    <row r="2" ht="13.55" customHeight="1">
      <c r="A2" s="10"/>
      <c r="B2" s="10"/>
      <c r="C2" s="10"/>
      <c r="D2" s="10"/>
      <c r="E2" s="10"/>
      <c r="F2" s="10"/>
      <c r="G2" s="10"/>
      <c r="H2" s="10"/>
      <c r="I2" s="10"/>
      <c r="J2" s="10"/>
      <c r="K2" s="10"/>
      <c r="L2" s="10"/>
      <c r="M2" s="10"/>
      <c r="N2" s="10"/>
    </row>
    <row r="3" ht="15.35" customHeight="1">
      <c r="A3" t="s" s="19">
        <v>39</v>
      </c>
      <c r="B3" t="s" s="20">
        <v>40</v>
      </c>
      <c r="C3" t="s" s="20">
        <v>41</v>
      </c>
      <c r="D3" t="s" s="20">
        <v>42</v>
      </c>
      <c r="E3" t="s" s="20">
        <v>43</v>
      </c>
      <c r="F3" t="s" s="20">
        <v>44</v>
      </c>
      <c r="G3" t="s" s="20">
        <v>45</v>
      </c>
      <c r="H3" t="s" s="20">
        <v>46</v>
      </c>
      <c r="I3" t="s" s="20">
        <v>47</v>
      </c>
      <c r="J3" t="s" s="20">
        <v>48</v>
      </c>
      <c r="K3" t="s" s="20">
        <v>49</v>
      </c>
      <c r="L3" t="s" s="20">
        <v>50</v>
      </c>
      <c r="M3" t="s" s="20">
        <v>51</v>
      </c>
      <c r="N3" t="s" s="21">
        <v>52</v>
      </c>
    </row>
    <row r="4" ht="13.55" customHeight="1">
      <c r="A4" s="22"/>
      <c r="B4" s="23"/>
      <c r="C4" s="23"/>
      <c r="D4" s="23"/>
      <c r="E4" s="23"/>
      <c r="F4" s="23"/>
      <c r="G4" s="23"/>
      <c r="H4" s="23"/>
      <c r="I4" s="23"/>
      <c r="J4" s="23"/>
      <c r="K4" s="23"/>
      <c r="L4" s="23"/>
      <c r="M4" s="23"/>
      <c r="N4" s="23"/>
    </row>
    <row r="5" ht="13.55" customHeight="1">
      <c r="A5" t="s" s="11">
        <v>53</v>
      </c>
      <c r="B5" s="24"/>
      <c r="C5" s="10"/>
      <c r="D5" s="10"/>
      <c r="E5" s="10"/>
      <c r="F5" s="10"/>
      <c r="G5" s="10"/>
      <c r="H5" s="10"/>
      <c r="I5" s="10"/>
      <c r="J5" s="10"/>
      <c r="K5" s="10"/>
      <c r="L5" s="10"/>
      <c r="M5" s="10"/>
      <c r="N5" s="8"/>
    </row>
    <row r="6" ht="13.55" customHeight="1">
      <c r="A6" t="s" s="25">
        <v>54</v>
      </c>
      <c r="B6" s="26">
        <v>300</v>
      </c>
      <c r="C6" s="26">
        <f>B6*1.2</f>
        <v>360</v>
      </c>
      <c r="D6" s="26">
        <f>C6*1.2</f>
        <v>432</v>
      </c>
      <c r="E6" s="26">
        <f>D6*1.2</f>
        <v>518.4</v>
      </c>
      <c r="F6" s="26">
        <f>E6*1.2</f>
        <v>622.08</v>
      </c>
      <c r="G6" s="26">
        <f>F6*1.2</f>
        <v>746.496</v>
      </c>
      <c r="H6" s="26">
        <f>G6*1.2</f>
        <v>895.7952</v>
      </c>
      <c r="I6" s="26">
        <f>H6*1.2</f>
        <v>1074.95424</v>
      </c>
      <c r="J6" s="26">
        <f>I6*1.2</f>
        <v>1289.945088</v>
      </c>
      <c r="K6" s="26">
        <f>J6*1.2</f>
        <v>1547.9341056</v>
      </c>
      <c r="L6" s="26">
        <f>K6*1.2</f>
        <v>1857.52092672</v>
      </c>
      <c r="M6" s="26">
        <f>L6*1.2</f>
        <v>2229.025112064</v>
      </c>
      <c r="N6" s="27">
        <f>SUM(B6:M6)</f>
        <v>11874.150672384</v>
      </c>
    </row>
    <row r="7" ht="13.55" customHeight="1">
      <c r="A7" t="s" s="9">
        <v>55</v>
      </c>
      <c r="B7" s="28">
        <f>B6*'Assumptions'!$B$22</f>
        <v>9</v>
      </c>
      <c r="C7" s="28">
        <f>C6*'Assumptions'!$B$22</f>
        <v>10.8</v>
      </c>
      <c r="D7" s="28">
        <f>D6*'Assumptions'!$B$22</f>
        <v>12.96</v>
      </c>
      <c r="E7" s="28">
        <f>E6*'Assumptions'!$B$22</f>
        <v>15.552</v>
      </c>
      <c r="F7" s="28">
        <f>F6*'Assumptions'!$B$22</f>
        <v>18.6624</v>
      </c>
      <c r="G7" s="28">
        <f>G6*'Assumptions'!$B$22</f>
        <v>22.39488</v>
      </c>
      <c r="H7" s="28">
        <f>H6*'Assumptions'!$B$22</f>
        <v>26.873856</v>
      </c>
      <c r="I7" s="28">
        <f>I6*'Assumptions'!$B$22</f>
        <v>32.2486272</v>
      </c>
      <c r="J7" s="28">
        <f>J6*'Assumptions'!$B$22</f>
        <v>38.69835264</v>
      </c>
      <c r="K7" s="28">
        <f>K6*'Assumptions'!$B$22</f>
        <v>46.438023168</v>
      </c>
      <c r="L7" s="28">
        <f>L6*'Assumptions'!$B$22</f>
        <v>55.7256278016</v>
      </c>
      <c r="M7" s="28">
        <f>M6*'Assumptions'!$B$22</f>
        <v>66.87075336191999</v>
      </c>
      <c r="N7" s="29">
        <f>SUM(B7:M7)</f>
        <v>356.224520171520</v>
      </c>
    </row>
    <row r="8" ht="13.55" customHeight="1">
      <c r="A8" t="s" s="9">
        <v>56</v>
      </c>
      <c r="B8" s="29">
        <f>B6*'Assumptions'!$B$23</f>
        <v>9</v>
      </c>
      <c r="C8" s="29">
        <f>C6*'Assumptions'!$B$23</f>
        <v>10.8</v>
      </c>
      <c r="D8" s="29">
        <f>D6*'Assumptions'!$B$23</f>
        <v>12.96</v>
      </c>
      <c r="E8" s="29">
        <f>E6*'Assumptions'!$B$23</f>
        <v>15.552</v>
      </c>
      <c r="F8" s="29">
        <f>F6*'Assumptions'!$B$23</f>
        <v>18.6624</v>
      </c>
      <c r="G8" s="29">
        <f>G6*'Assumptions'!$B$23</f>
        <v>22.39488</v>
      </c>
      <c r="H8" s="29">
        <f>H6*'Assumptions'!$B$23</f>
        <v>26.873856</v>
      </c>
      <c r="I8" s="29">
        <f>I6*'Assumptions'!$B$23</f>
        <v>32.2486272</v>
      </c>
      <c r="J8" s="29">
        <f>J6*'Assumptions'!$B$23</f>
        <v>38.69835264</v>
      </c>
      <c r="K8" s="29">
        <f>K6*'Assumptions'!$B$23</f>
        <v>46.438023168</v>
      </c>
      <c r="L8" s="29">
        <f>L6*'Assumptions'!$B$23</f>
        <v>55.7256278016</v>
      </c>
      <c r="M8" s="29">
        <f>M6*'Assumptions'!$B$23</f>
        <v>66.87075336191999</v>
      </c>
      <c r="N8" s="29">
        <f>SUM(B8:M8)</f>
        <v>356.224520171520</v>
      </c>
    </row>
    <row r="9" ht="13.55" customHeight="1">
      <c r="A9" s="10"/>
      <c r="B9" s="8"/>
      <c r="C9" s="8"/>
      <c r="D9" s="8"/>
      <c r="E9" s="8"/>
      <c r="F9" s="8"/>
      <c r="G9" s="8"/>
      <c r="H9" s="8"/>
      <c r="I9" s="8"/>
      <c r="J9" s="8"/>
      <c r="K9" s="8"/>
      <c r="L9" s="8"/>
      <c r="M9" s="8"/>
      <c r="N9" s="8"/>
    </row>
    <row r="10" ht="13.55" customHeight="1">
      <c r="A10" t="s" s="11">
        <v>57</v>
      </c>
      <c r="B10" s="12"/>
      <c r="C10" s="8"/>
      <c r="D10" s="8"/>
      <c r="E10" s="8"/>
      <c r="F10" s="8"/>
      <c r="G10" s="8"/>
      <c r="H10" s="8"/>
      <c r="I10" s="8"/>
      <c r="J10" s="8"/>
      <c r="K10" s="8"/>
      <c r="L10" s="8"/>
      <c r="M10" s="8"/>
      <c r="N10" s="8"/>
    </row>
    <row r="11" ht="13.55" customHeight="1">
      <c r="A11" t="s" s="13">
        <v>58</v>
      </c>
      <c r="B11" s="14">
        <f>B7*'Assumptions'!$B$18</f>
        <v>135</v>
      </c>
      <c r="C11" s="14">
        <f>C7*'Assumptions'!$B$18</f>
        <v>162</v>
      </c>
      <c r="D11" s="14">
        <f>D7*'Assumptions'!$B$18</f>
        <v>194.4</v>
      </c>
      <c r="E11" s="14">
        <f>E7*'Assumptions'!$B$18</f>
        <v>233.28</v>
      </c>
      <c r="F11" s="14">
        <f>F7*'Assumptions'!$B$18</f>
        <v>279.936</v>
      </c>
      <c r="G11" s="14">
        <f>G7*'Assumptions'!$B$18</f>
        <v>335.9232</v>
      </c>
      <c r="H11" s="14">
        <f>H7*'Assumptions'!$B$18</f>
        <v>403.10784</v>
      </c>
      <c r="I11" s="14">
        <f>I7*'Assumptions'!$B$18</f>
        <v>483.729408</v>
      </c>
      <c r="J11" s="14">
        <f>J7*'Assumptions'!$B$18</f>
        <v>580.4752896</v>
      </c>
      <c r="K11" s="14">
        <f>K7*'Assumptions'!$B$18</f>
        <v>696.57034752</v>
      </c>
      <c r="L11" s="14">
        <f>L7*'Assumptions'!$B$18</f>
        <v>835.884417024</v>
      </c>
      <c r="M11" s="14">
        <f>M7*'Assumptions'!$B$18</f>
        <v>1003.0613004288</v>
      </c>
      <c r="N11" s="14">
        <f>SUM(B11:M11)</f>
        <v>5343.3678025728</v>
      </c>
    </row>
    <row r="12" ht="13.55" customHeight="1">
      <c r="A12" t="s" s="9">
        <v>59</v>
      </c>
      <c r="B12" s="14">
        <f>B8*'Assumptions'!$B$19</f>
        <v>405</v>
      </c>
      <c r="C12" s="14">
        <f>C8*'Assumptions'!$B$19</f>
        <v>486</v>
      </c>
      <c r="D12" s="14">
        <f>D8*'Assumptions'!$B$19</f>
        <v>583.2</v>
      </c>
      <c r="E12" s="14">
        <f>E8*'Assumptions'!$B$19</f>
        <v>699.84</v>
      </c>
      <c r="F12" s="14">
        <f>F8*'Assumptions'!$B$19</f>
        <v>839.808</v>
      </c>
      <c r="G12" s="14">
        <f>G8*'Assumptions'!$B$19</f>
        <v>1007.7696</v>
      </c>
      <c r="H12" s="14">
        <f>H8*'Assumptions'!$B$19</f>
        <v>1209.32352</v>
      </c>
      <c r="I12" s="14">
        <f>I8*'Assumptions'!$B$19</f>
        <v>1451.188224</v>
      </c>
      <c r="J12" s="14">
        <f>J8*'Assumptions'!$B$19</f>
        <v>1741.4258688</v>
      </c>
      <c r="K12" s="14">
        <f>K8*'Assumptions'!$B$19</f>
        <v>2089.71104256</v>
      </c>
      <c r="L12" s="14">
        <f>L8*'Assumptions'!$B$19</f>
        <v>2507.653251072</v>
      </c>
      <c r="M12" s="14">
        <f>M8*'Assumptions'!$B$19</f>
        <v>3009.1839012864</v>
      </c>
      <c r="N12" s="14">
        <f>SUM(B12:M12)</f>
        <v>16030.1034077184</v>
      </c>
    </row>
    <row r="13" ht="13.55" customHeight="1">
      <c r="A13" t="s" s="15">
        <v>60</v>
      </c>
      <c r="B13" s="16">
        <f>B11+B12</f>
        <v>540</v>
      </c>
      <c r="C13" s="16">
        <f>C11+C12</f>
        <v>648</v>
      </c>
      <c r="D13" s="16">
        <f>D11+D12</f>
        <v>777.6</v>
      </c>
      <c r="E13" s="16">
        <f>E11+E12</f>
        <v>933.12</v>
      </c>
      <c r="F13" s="16">
        <f>F11+F12</f>
        <v>1119.744</v>
      </c>
      <c r="G13" s="16">
        <f>G11+G12</f>
        <v>1343.6928</v>
      </c>
      <c r="H13" s="16">
        <f>H11+H12</f>
        <v>1612.43136</v>
      </c>
      <c r="I13" s="16">
        <f>I11+I12</f>
        <v>1934.917632</v>
      </c>
      <c r="J13" s="16">
        <f>J11+J12</f>
        <v>2321.9011584</v>
      </c>
      <c r="K13" s="16">
        <f>K11+K12</f>
        <v>2786.28139008</v>
      </c>
      <c r="L13" s="16">
        <f>L11+L12</f>
        <v>3343.537668096</v>
      </c>
      <c r="M13" s="16">
        <f>M11+M12</f>
        <v>4012.2452017152</v>
      </c>
      <c r="N13" s="16">
        <f>SUM(B13:M13)</f>
        <v>21373.4712102912</v>
      </c>
    </row>
    <row r="14" ht="13.55" customHeight="1">
      <c r="A14" s="10"/>
      <c r="B14" s="8"/>
      <c r="C14" s="8"/>
      <c r="D14" s="8"/>
      <c r="E14" s="8"/>
      <c r="F14" s="8"/>
      <c r="G14" s="8"/>
      <c r="H14" s="8"/>
      <c r="I14" s="8"/>
      <c r="J14" s="8"/>
      <c r="K14" s="8"/>
      <c r="L14" s="8"/>
      <c r="M14" s="8"/>
      <c r="N14" s="8"/>
    </row>
    <row r="15" ht="13.55" customHeight="1">
      <c r="A15" t="s" s="11">
        <v>61</v>
      </c>
      <c r="B15" s="12"/>
      <c r="C15" s="8"/>
      <c r="D15" s="8"/>
      <c r="E15" s="8"/>
      <c r="F15" s="8"/>
      <c r="G15" s="8"/>
      <c r="H15" s="8"/>
      <c r="I15" s="8"/>
      <c r="J15" s="8"/>
      <c r="K15" s="8"/>
      <c r="L15" s="8"/>
      <c r="M15" s="8"/>
      <c r="N15" s="8"/>
    </row>
    <row r="16" ht="13.55" customHeight="1">
      <c r="A16" t="s" s="13">
        <v>62</v>
      </c>
      <c r="B16" s="14">
        <f>B6*'Assumptions'!$B$26</f>
        <v>27</v>
      </c>
      <c r="C16" s="14">
        <f>C6*'Assumptions'!$B$26</f>
        <v>32.4</v>
      </c>
      <c r="D16" s="14">
        <f>D6*'Assumptions'!$B$26</f>
        <v>38.88</v>
      </c>
      <c r="E16" s="14">
        <f>E6*'Assumptions'!$B$26</f>
        <v>46.656</v>
      </c>
      <c r="F16" s="14">
        <f>F6*'Assumptions'!$B$26</f>
        <v>55.9872</v>
      </c>
      <c r="G16" s="14">
        <f>G6*'Assumptions'!$B$26</f>
        <v>67.18464</v>
      </c>
      <c r="H16" s="14">
        <f>H6*'Assumptions'!$B$26</f>
        <v>80.621568</v>
      </c>
      <c r="I16" s="14">
        <f>I6*'Assumptions'!$B$26</f>
        <v>96.7458816</v>
      </c>
      <c r="J16" s="14">
        <f>J6*'Assumptions'!$B$26</f>
        <v>116.09505792</v>
      </c>
      <c r="K16" s="14">
        <f>K6*'Assumptions'!$B$26</f>
        <v>139.314069504</v>
      </c>
      <c r="L16" s="14">
        <f>L6*'Assumptions'!$B$26</f>
        <v>167.1768834048</v>
      </c>
      <c r="M16" s="14">
        <f>M6*'Assumptions'!$B$26</f>
        <v>200.612260085760</v>
      </c>
      <c r="N16" s="14">
        <f>SUM(B16:M16)</f>
        <v>1068.673560514560</v>
      </c>
    </row>
    <row r="17" ht="13.55" customHeight="1">
      <c r="A17" t="s" s="9">
        <v>63</v>
      </c>
      <c r="B17" s="14">
        <f>B7*'Assumptions'!$B$32</f>
        <v>11.34</v>
      </c>
      <c r="C17" s="14">
        <f>C7*'Assumptions'!$B$32</f>
        <v>13.608</v>
      </c>
      <c r="D17" s="14">
        <f>D7*'Assumptions'!$B$32</f>
        <v>16.3296</v>
      </c>
      <c r="E17" s="14">
        <f>E7*'Assumptions'!$B$32</f>
        <v>19.59552</v>
      </c>
      <c r="F17" s="14">
        <f>F7*'Assumptions'!$B$32</f>
        <v>23.514624</v>
      </c>
      <c r="G17" s="14">
        <f>G7*'Assumptions'!$B$32</f>
        <v>28.2175488</v>
      </c>
      <c r="H17" s="14">
        <f>H7*'Assumptions'!$B$32</f>
        <v>33.86105856</v>
      </c>
      <c r="I17" s="14">
        <f>I7*'Assumptions'!$B$32</f>
        <v>40.633270272</v>
      </c>
      <c r="J17" s="14">
        <f>J7*'Assumptions'!$B$32</f>
        <v>48.7599243264</v>
      </c>
      <c r="K17" s="14">
        <f>K7*'Assumptions'!$B$32</f>
        <v>58.511909191680</v>
      </c>
      <c r="L17" s="14">
        <f>L7*'Assumptions'!$B$32</f>
        <v>70.214291030016</v>
      </c>
      <c r="M17" s="14">
        <f>M7*'Assumptions'!$B$32</f>
        <v>84.2571492360192</v>
      </c>
      <c r="N17" s="14">
        <f>SUM(B17:M17)</f>
        <v>448.842895416115</v>
      </c>
    </row>
    <row r="18" ht="13.55" customHeight="1">
      <c r="A18" t="s" s="9">
        <v>64</v>
      </c>
      <c r="B18" s="14">
        <f>B8*'Assumptions'!$B$40</f>
        <v>257.67</v>
      </c>
      <c r="C18" s="14">
        <f>C8*'Assumptions'!$B$40</f>
        <v>309.204</v>
      </c>
      <c r="D18" s="14">
        <f>D8*'Assumptions'!$B$40</f>
        <v>371.0448</v>
      </c>
      <c r="E18" s="14">
        <f>E8*'Assumptions'!$B$40</f>
        <v>445.25376</v>
      </c>
      <c r="F18" s="14">
        <f>F8*'Assumptions'!$B$40</f>
        <v>534.304512</v>
      </c>
      <c r="G18" s="14">
        <f>G8*'Assumptions'!$B$40</f>
        <v>641.1654144</v>
      </c>
      <c r="H18" s="14">
        <f>H8*'Assumptions'!$B$40</f>
        <v>769.39849728</v>
      </c>
      <c r="I18" s="14">
        <f>I8*'Assumptions'!$B$40</f>
        <v>923.278196736</v>
      </c>
      <c r="J18" s="14">
        <f>J8*'Assumptions'!$B$40</f>
        <v>1107.9338360832</v>
      </c>
      <c r="K18" s="14">
        <f>K8*'Assumptions'!$B$40</f>
        <v>1329.520603299840</v>
      </c>
      <c r="L18" s="14">
        <f>L8*'Assumptions'!$B$40</f>
        <v>1595.424723959810</v>
      </c>
      <c r="M18" s="14">
        <f>M8*'Assumptions'!$B$40</f>
        <v>1914.509668751770</v>
      </c>
      <c r="N18" s="14">
        <f>SUM(B18:M18)</f>
        <v>10198.7080125106</v>
      </c>
    </row>
    <row r="19" ht="13.55" customHeight="1">
      <c r="A19" t="s" s="9">
        <v>65</v>
      </c>
      <c r="B19" s="14">
        <f>B13*0.03</f>
        <v>16.2</v>
      </c>
      <c r="C19" s="14">
        <f>C13*0.03</f>
        <v>19.44</v>
      </c>
      <c r="D19" s="14">
        <f>D13*0.03</f>
        <v>23.328</v>
      </c>
      <c r="E19" s="14">
        <f>E13*0.03</f>
        <v>27.9936</v>
      </c>
      <c r="F19" s="14">
        <f>F13*0.03</f>
        <v>33.59232</v>
      </c>
      <c r="G19" s="14">
        <f>G13*0.03</f>
        <v>40.310784</v>
      </c>
      <c r="H19" s="14">
        <f>H13*0.03</f>
        <v>48.3729408</v>
      </c>
      <c r="I19" s="14">
        <f>I13*0.03</f>
        <v>58.04752896</v>
      </c>
      <c r="J19" s="14">
        <f>J13*0.03</f>
        <v>69.657034752</v>
      </c>
      <c r="K19" s="14">
        <f>K13*0.03</f>
        <v>83.5884417024</v>
      </c>
      <c r="L19" s="14">
        <f>L13*0.03</f>
        <v>100.306130042880</v>
      </c>
      <c r="M19" s="14">
        <f>M13*0.03</f>
        <v>120.367356051456</v>
      </c>
      <c r="N19" s="14">
        <f>SUM(B19:M19)</f>
        <v>641.204136308736</v>
      </c>
    </row>
    <row r="20" ht="13.55" customHeight="1">
      <c r="A20" t="s" s="9">
        <v>66</v>
      </c>
      <c r="B20" s="14">
        <f>B8*'Assumptions'!$B$40*0.015</f>
        <v>3.86505</v>
      </c>
      <c r="C20" s="14">
        <f>C8*'Assumptions'!$B$40*0.015</f>
        <v>4.63806</v>
      </c>
      <c r="D20" s="14">
        <f>D8*'Assumptions'!$B$40*0.015</f>
        <v>5.565672</v>
      </c>
      <c r="E20" s="14">
        <f>E8*'Assumptions'!$B$40*0.015</f>
        <v>6.6788064</v>
      </c>
      <c r="F20" s="14">
        <f>F8*'Assumptions'!$B$40*0.015</f>
        <v>8.014567680000001</v>
      </c>
      <c r="G20" s="14">
        <f>G8*'Assumptions'!$B$40*0.015</f>
        <v>9.617481216</v>
      </c>
      <c r="H20" s="14">
        <f>H8*'Assumptions'!$B$40*0.015</f>
        <v>11.5409774592</v>
      </c>
      <c r="I20" s="14">
        <f>I8*'Assumptions'!$B$40*0.015</f>
        <v>13.849172951040</v>
      </c>
      <c r="J20" s="14">
        <f>J8*'Assumptions'!$B$40*0.015</f>
        <v>16.619007541248</v>
      </c>
      <c r="K20" s="14">
        <f>K8*'Assumptions'!$B$40*0.015</f>
        <v>19.9428090494976</v>
      </c>
      <c r="L20" s="14">
        <f>L8*'Assumptions'!$B$40*0.015</f>
        <v>23.9313708593971</v>
      </c>
      <c r="M20" s="14">
        <f>M8*'Assumptions'!$B$40*0.015</f>
        <v>28.7176450312765</v>
      </c>
      <c r="N20" s="14">
        <f>SUM(B20:M20)</f>
        <v>152.980620187659</v>
      </c>
    </row>
    <row r="21" ht="13.55" customHeight="1">
      <c r="A21" t="s" s="15">
        <v>67</v>
      </c>
      <c r="B21" s="16">
        <f>SUM(B16:B20)</f>
        <v>316.07505</v>
      </c>
      <c r="C21" s="16">
        <f>SUM(C16:C20)</f>
        <v>379.29006</v>
      </c>
      <c r="D21" s="16">
        <f>SUM(D16:D20)</f>
        <v>455.148072</v>
      </c>
      <c r="E21" s="16">
        <f>SUM(E16:E20)</f>
        <v>546.1776864</v>
      </c>
      <c r="F21" s="16">
        <f>SUM(F16:F20)</f>
        <v>655.41322368</v>
      </c>
      <c r="G21" s="16">
        <f>SUM(G16:G20)</f>
        <v>786.495868416</v>
      </c>
      <c r="H21" s="16">
        <f>SUM(H16:H20)</f>
        <v>943.7950420992</v>
      </c>
      <c r="I21" s="16">
        <f>SUM(I16:I20)</f>
        <v>1132.554050519040</v>
      </c>
      <c r="J21" s="16">
        <f>SUM(J16:J20)</f>
        <v>1359.064860622850</v>
      </c>
      <c r="K21" s="16">
        <f>SUM(K16:K20)</f>
        <v>1630.877832747420</v>
      </c>
      <c r="L21" s="16">
        <f>SUM(L16:L20)</f>
        <v>1957.0533992969</v>
      </c>
      <c r="M21" s="16">
        <f>SUM(M16:M20)</f>
        <v>2348.464079156280</v>
      </c>
      <c r="N21" s="16">
        <f>SUM(B21:M21)</f>
        <v>12510.4092249377</v>
      </c>
    </row>
    <row r="22" ht="13.55" customHeight="1">
      <c r="A22" s="8"/>
      <c r="B22" s="10"/>
      <c r="C22" s="10"/>
      <c r="D22" s="10"/>
      <c r="E22" s="10"/>
      <c r="F22" s="10"/>
      <c r="G22" s="10"/>
      <c r="H22" s="10"/>
      <c r="I22" s="10"/>
      <c r="J22" s="10"/>
      <c r="K22" s="10"/>
      <c r="L22" s="10"/>
      <c r="M22" s="10"/>
      <c r="N22" s="10"/>
    </row>
    <row r="23" ht="13.55" customHeight="1">
      <c r="A23" t="s" s="30">
        <v>68</v>
      </c>
      <c r="B23" s="31">
        <f>B13-B21</f>
        <v>223.92495</v>
      </c>
      <c r="C23" s="31">
        <f>C13-C21</f>
        <v>268.70994</v>
      </c>
      <c r="D23" s="31">
        <f>D13-D21</f>
        <v>322.451928</v>
      </c>
      <c r="E23" s="31">
        <f>E13-E21</f>
        <v>386.9423136</v>
      </c>
      <c r="F23" s="31">
        <f>F13-F21</f>
        <v>464.33077632</v>
      </c>
      <c r="G23" s="31">
        <f>G13-G21</f>
        <v>557.196931584</v>
      </c>
      <c r="H23" s="31">
        <f>H13-H21</f>
        <v>668.6363179008</v>
      </c>
      <c r="I23" s="31">
        <f>I13-I21</f>
        <v>802.363581480960</v>
      </c>
      <c r="J23" s="31">
        <f>J13-J21</f>
        <v>962.836297777150</v>
      </c>
      <c r="K23" s="31">
        <f>K13-K21</f>
        <v>1155.403557332580</v>
      </c>
      <c r="L23" s="31">
        <f>L13-L21</f>
        <v>1386.4842687991</v>
      </c>
      <c r="M23" s="31">
        <f>M13-M21</f>
        <v>1663.781122558920</v>
      </c>
      <c r="N23" s="32">
        <f>SUM(B23:M23)</f>
        <v>8863.061985353510</v>
      </c>
    </row>
    <row r="24" ht="13.55" customHeight="1">
      <c r="A24" t="s" s="9">
        <v>69</v>
      </c>
      <c r="B24" s="33">
        <f>IF(B13&gt;0,B23/B13,0)</f>
        <v>0.414675833333333</v>
      </c>
      <c r="C24" s="33">
        <f>IF(C13&gt;0,C23/C13,0)</f>
        <v>0.414675833333333</v>
      </c>
      <c r="D24" s="33">
        <f>IF(D13&gt;0,D23/D13,0)</f>
        <v>0.414675833333333</v>
      </c>
      <c r="E24" s="33">
        <f>IF(E13&gt;0,E23/E13,0)</f>
        <v>0.414675833333333</v>
      </c>
      <c r="F24" s="33">
        <f>IF(F13&gt;0,F23/F13,0)</f>
        <v>0.414675833333333</v>
      </c>
      <c r="G24" s="33">
        <f>IF(G13&gt;0,G23/G13,0)</f>
        <v>0.414675833333333</v>
      </c>
      <c r="H24" s="33">
        <f>IF(H13&gt;0,H23/H13,0)</f>
        <v>0.414675833333333</v>
      </c>
      <c r="I24" s="33">
        <f>IF(I13&gt;0,I23/I13,0)</f>
        <v>0.414675833333333</v>
      </c>
      <c r="J24" s="33">
        <f>IF(J13&gt;0,J23/J13,0)</f>
        <v>0.414675833333332</v>
      </c>
      <c r="K24" s="33">
        <f>IF(K13&gt;0,K23/K13,0)</f>
        <v>0.414675833333332</v>
      </c>
      <c r="L24" s="33">
        <f>IF(L13&gt;0,L23/L13,0)</f>
        <v>0.414675833333334</v>
      </c>
      <c r="M24" s="33">
        <f>IF(M13&gt;0,M23/M13,0)</f>
        <v>0.414675833333334</v>
      </c>
      <c r="N24" s="33">
        <f>IF(N13&gt;0,N23/N13,0)</f>
        <v>0.414675833333333</v>
      </c>
    </row>
    <row r="25" ht="13.55" customHeight="1">
      <c r="A25" s="10"/>
      <c r="B25" s="8"/>
      <c r="C25" s="8"/>
      <c r="D25" s="8"/>
      <c r="E25" s="8"/>
      <c r="F25" s="8"/>
      <c r="G25" s="8"/>
      <c r="H25" s="8"/>
      <c r="I25" s="8"/>
      <c r="J25" s="8"/>
      <c r="K25" s="8"/>
      <c r="L25" s="8"/>
      <c r="M25" s="8"/>
      <c r="N25" s="8"/>
    </row>
    <row r="26" ht="13.55" customHeight="1">
      <c r="A26" t="s" s="11">
        <v>70</v>
      </c>
      <c r="B26" s="12"/>
      <c r="C26" s="8"/>
      <c r="D26" s="8"/>
      <c r="E26" s="8"/>
      <c r="F26" s="8"/>
      <c r="G26" s="8"/>
      <c r="H26" s="8"/>
      <c r="I26" s="8"/>
      <c r="J26" s="8"/>
      <c r="K26" s="8"/>
      <c r="L26" s="8"/>
      <c r="M26" s="8"/>
      <c r="N26" s="8"/>
    </row>
    <row r="27" ht="13.55" customHeight="1">
      <c r="A27" t="s" s="13">
        <v>71</v>
      </c>
      <c r="B27" s="14">
        <f>'Assumptions'!$B$9</f>
        <v>0</v>
      </c>
      <c r="C27" s="14">
        <f>'Assumptions'!$B$9</f>
        <v>0</v>
      </c>
      <c r="D27" s="14">
        <f>'Assumptions'!$B$9</f>
        <v>0</v>
      </c>
      <c r="E27" s="14">
        <f>'Assumptions'!$B$9</f>
        <v>0</v>
      </c>
      <c r="F27" s="14">
        <f>'Assumptions'!$B$9</f>
        <v>0</v>
      </c>
      <c r="G27" s="14">
        <f>'Assumptions'!$B$9</f>
        <v>0</v>
      </c>
      <c r="H27" s="14">
        <f>'Assumptions'!$B$9</f>
        <v>0</v>
      </c>
      <c r="I27" s="14">
        <f>'Assumptions'!$B$9</f>
        <v>0</v>
      </c>
      <c r="J27" s="14">
        <f>'Assumptions'!$B$9</f>
        <v>0</v>
      </c>
      <c r="K27" s="14">
        <f>'Assumptions'!$B$9</f>
        <v>0</v>
      </c>
      <c r="L27" s="14">
        <f>'Assumptions'!$B$9</f>
        <v>0</v>
      </c>
      <c r="M27" s="14">
        <f>'Assumptions'!$B$9</f>
        <v>0</v>
      </c>
      <c r="N27" s="14">
        <f>SUM(B27:M27)</f>
        <v>0</v>
      </c>
    </row>
    <row r="28" ht="13.55" customHeight="1">
      <c r="A28" s="8"/>
      <c r="B28" s="10"/>
      <c r="C28" s="10"/>
      <c r="D28" s="10"/>
      <c r="E28" s="10"/>
      <c r="F28" s="10"/>
      <c r="G28" s="10"/>
      <c r="H28" s="10"/>
      <c r="I28" s="10"/>
      <c r="J28" s="10"/>
      <c r="K28" s="10"/>
      <c r="L28" s="10"/>
      <c r="M28" s="10"/>
      <c r="N28" s="10"/>
    </row>
    <row r="29" ht="15.35" customHeight="1">
      <c r="A29" t="s" s="34">
        <v>72</v>
      </c>
      <c r="B29" s="35">
        <f>B23-B27</f>
        <v>223.92495</v>
      </c>
      <c r="C29" s="35">
        <f>C23-C27</f>
        <v>268.70994</v>
      </c>
      <c r="D29" s="35">
        <f>D23-D27</f>
        <v>322.451928</v>
      </c>
      <c r="E29" s="35">
        <f>E23-E27</f>
        <v>386.9423136</v>
      </c>
      <c r="F29" s="35">
        <f>F23-F27</f>
        <v>464.33077632</v>
      </c>
      <c r="G29" s="35">
        <f>G23-G27</f>
        <v>557.196931584</v>
      </c>
      <c r="H29" s="35">
        <f>H23-H27</f>
        <v>668.6363179008</v>
      </c>
      <c r="I29" s="35">
        <f>I23-I27</f>
        <v>802.363581480960</v>
      </c>
      <c r="J29" s="35">
        <f>J23-J27</f>
        <v>962.836297777150</v>
      </c>
      <c r="K29" s="35">
        <f>K23-K27</f>
        <v>1155.403557332580</v>
      </c>
      <c r="L29" s="35">
        <f>L23-L27</f>
        <v>1386.4842687991</v>
      </c>
      <c r="M29" s="35">
        <f>M23-M27</f>
        <v>1663.781122558920</v>
      </c>
      <c r="N29" s="36">
        <f>SUM(B29:M29)</f>
        <v>8863.061985353510</v>
      </c>
    </row>
    <row r="30" ht="13.55" customHeight="1">
      <c r="A30" t="s" s="9">
        <v>73</v>
      </c>
      <c r="B30" s="33">
        <f>IF(B13&gt;0,B29/B13,0)</f>
        <v>0.414675833333333</v>
      </c>
      <c r="C30" s="33">
        <f>IF(C13&gt;0,C29/C13,0)</f>
        <v>0.414675833333333</v>
      </c>
      <c r="D30" s="33">
        <f>IF(D13&gt;0,D29/D13,0)</f>
        <v>0.414675833333333</v>
      </c>
      <c r="E30" s="33">
        <f>IF(E13&gt;0,E29/E13,0)</f>
        <v>0.414675833333333</v>
      </c>
      <c r="F30" s="33">
        <f>IF(F13&gt;0,F29/F13,0)</f>
        <v>0.414675833333333</v>
      </c>
      <c r="G30" s="33">
        <f>IF(G13&gt;0,G29/G13,0)</f>
        <v>0.414675833333333</v>
      </c>
      <c r="H30" s="33">
        <f>IF(H13&gt;0,H29/H13,0)</f>
        <v>0.414675833333333</v>
      </c>
      <c r="I30" s="33">
        <f>IF(I13&gt;0,I29/I13,0)</f>
        <v>0.414675833333333</v>
      </c>
      <c r="J30" s="33">
        <f>IF(J13&gt;0,J29/J13,0)</f>
        <v>0.414675833333332</v>
      </c>
      <c r="K30" s="33">
        <f>IF(K13&gt;0,K29/K13,0)</f>
        <v>0.414675833333332</v>
      </c>
      <c r="L30" s="33">
        <f>IF(L13&gt;0,L29/L13,0)</f>
        <v>0.414675833333334</v>
      </c>
      <c r="M30" s="33">
        <f>IF(M13&gt;0,M29/M13,0)</f>
        <v>0.414675833333334</v>
      </c>
      <c r="N30" s="33">
        <f>IF(N13&gt;0,N29/N13,0)</f>
        <v>0.414675833333333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18"/>
  <sheetViews>
    <sheetView workbookViewId="0" showGridLines="0" defaultGridColor="1"/>
  </sheetViews>
  <sheetFormatPr defaultColWidth="8.83333" defaultRowHeight="15" customHeight="1" outlineLevelRow="0" outlineLevelCol="0"/>
  <cols>
    <col min="1" max="1" width="30" style="37" customWidth="1"/>
    <col min="2" max="6" width="15" style="37" customWidth="1"/>
    <col min="7" max="16384" width="8.85156" style="37" customWidth="1"/>
  </cols>
  <sheetData>
    <row r="1" ht="17.9" customHeight="1">
      <c r="A1" t="s" s="7">
        <v>75</v>
      </c>
      <c r="B1" s="8"/>
      <c r="C1" s="8"/>
      <c r="D1" s="8"/>
      <c r="E1" s="8"/>
      <c r="F1" s="8"/>
    </row>
    <row r="2" ht="13.55" customHeight="1">
      <c r="A2" s="10"/>
      <c r="B2" s="8"/>
      <c r="C2" s="8"/>
      <c r="D2" s="8"/>
      <c r="E2" s="8"/>
      <c r="F2" s="8"/>
    </row>
    <row r="3" ht="13.55" customHeight="1">
      <c r="A3" t="s" s="11">
        <v>76</v>
      </c>
      <c r="B3" s="12"/>
      <c r="C3" s="8"/>
      <c r="D3" s="8"/>
      <c r="E3" s="8"/>
      <c r="F3" s="8"/>
    </row>
    <row r="4" ht="13.55" customHeight="1">
      <c r="A4" t="s" s="13">
        <v>77</v>
      </c>
      <c r="B4" s="8"/>
      <c r="C4" s="8"/>
      <c r="D4" s="8"/>
      <c r="E4" s="8"/>
      <c r="F4" s="8"/>
    </row>
    <row r="5" ht="13.55" customHeight="1">
      <c r="A5" s="8"/>
      <c r="B5" s="10"/>
      <c r="C5" s="10"/>
      <c r="D5" s="10"/>
      <c r="E5" s="10"/>
      <c r="F5" s="10"/>
    </row>
    <row r="6" ht="13.55" customHeight="1">
      <c r="A6" t="s" s="38">
        <v>78</v>
      </c>
      <c r="B6" s="39">
        <v>0.02</v>
      </c>
      <c r="C6" s="39">
        <v>0.03</v>
      </c>
      <c r="D6" s="39">
        <v>0.04</v>
      </c>
      <c r="E6" s="39">
        <v>0.05</v>
      </c>
      <c r="F6" s="40">
        <v>0.06</v>
      </c>
    </row>
    <row r="7" ht="13.55" customHeight="1">
      <c r="A7" t="s" s="9">
        <v>79</v>
      </c>
      <c r="B7" s="28">
        <v>6</v>
      </c>
      <c r="C7" s="28">
        <v>9</v>
      </c>
      <c r="D7" s="28">
        <v>12</v>
      </c>
      <c r="E7" s="28">
        <v>15</v>
      </c>
      <c r="F7" s="28">
        <v>18</v>
      </c>
    </row>
    <row r="8" ht="13.55" customHeight="1">
      <c r="A8" t="s" s="9">
        <v>80</v>
      </c>
      <c r="B8" s="14">
        <v>225</v>
      </c>
      <c r="C8" s="14">
        <v>337.5</v>
      </c>
      <c r="D8" s="14">
        <v>450</v>
      </c>
      <c r="E8" s="14">
        <v>562.5</v>
      </c>
      <c r="F8" s="14">
        <v>675</v>
      </c>
    </row>
    <row r="9" ht="13.55" customHeight="1">
      <c r="A9" t="s" s="9">
        <v>81</v>
      </c>
      <c r="B9" s="14">
        <v>157.725</v>
      </c>
      <c r="C9" s="14">
        <v>223.0875</v>
      </c>
      <c r="D9" s="14">
        <v>288.45</v>
      </c>
      <c r="E9" s="14">
        <v>353.8125</v>
      </c>
      <c r="F9" s="14">
        <v>419.175</v>
      </c>
    </row>
    <row r="10" ht="13.55" customHeight="1">
      <c r="A10" t="s" s="15">
        <v>82</v>
      </c>
      <c r="B10" s="16">
        <f>B8-B9-134</f>
        <v>-66.72499999999999</v>
      </c>
      <c r="C10" s="16">
        <f>C8-C9-134</f>
        <v>-19.5875</v>
      </c>
      <c r="D10" s="16">
        <f>D8-D9-134</f>
        <v>27.55</v>
      </c>
      <c r="E10" s="16">
        <f>E8-E9-134</f>
        <v>74.6875</v>
      </c>
      <c r="F10" s="16">
        <f>F8-F9-134</f>
        <v>121.825</v>
      </c>
    </row>
    <row r="11" ht="13.55" customHeight="1">
      <c r="A11" s="8"/>
      <c r="B11" s="8"/>
      <c r="C11" s="8"/>
      <c r="D11" s="8"/>
      <c r="E11" s="8"/>
      <c r="F11" s="8"/>
    </row>
    <row r="12" ht="13.55" customHeight="1">
      <c r="A12" s="10"/>
      <c r="B12" s="8"/>
      <c r="C12" s="8"/>
      <c r="D12" s="8"/>
      <c r="E12" s="8"/>
      <c r="F12" s="8"/>
    </row>
    <row r="13" ht="13.55" customHeight="1">
      <c r="A13" t="s" s="11">
        <v>83</v>
      </c>
      <c r="B13" s="12"/>
      <c r="C13" s="8"/>
      <c r="D13" s="8"/>
      <c r="E13" s="8"/>
      <c r="F13" s="8"/>
    </row>
    <row r="14" ht="13.55" customHeight="1">
      <c r="A14" t="s" s="13">
        <v>84</v>
      </c>
      <c r="B14" s="8"/>
      <c r="C14" s="8"/>
      <c r="D14" s="8"/>
      <c r="E14" s="8"/>
      <c r="F14" s="8"/>
    </row>
    <row r="15" ht="13.55" customHeight="1">
      <c r="A15" s="8"/>
      <c r="B15" s="10"/>
      <c r="C15" s="10"/>
      <c r="D15" s="10"/>
      <c r="E15" s="10"/>
      <c r="F15" s="10"/>
    </row>
    <row r="16" ht="13.55" customHeight="1">
      <c r="A16" t="s" s="38">
        <v>85</v>
      </c>
      <c r="B16" s="41">
        <v>40</v>
      </c>
      <c r="C16" s="41">
        <v>42</v>
      </c>
      <c r="D16" s="41">
        <v>45</v>
      </c>
      <c r="E16" s="41">
        <v>48</v>
      </c>
      <c r="F16" s="42">
        <v>50</v>
      </c>
    </row>
    <row r="17" ht="13.55" customHeight="1">
      <c r="A17" t="s" s="9">
        <v>86</v>
      </c>
      <c r="B17" s="43">
        <v>405</v>
      </c>
      <c r="C17" s="43">
        <v>423</v>
      </c>
      <c r="D17" s="43">
        <v>450</v>
      </c>
      <c r="E17" s="43">
        <v>477</v>
      </c>
      <c r="F17" s="43">
        <v>495</v>
      </c>
    </row>
    <row r="18" ht="13.55" customHeight="1">
      <c r="A18" t="s" s="15">
        <v>82</v>
      </c>
      <c r="B18" s="16">
        <f>B17-288.45-134</f>
        <v>-17.45</v>
      </c>
      <c r="C18" s="16">
        <f>C17-288.45-134</f>
        <v>0.549999999999955</v>
      </c>
      <c r="D18" s="16">
        <f>D17-288.45-134</f>
        <v>27.55</v>
      </c>
      <c r="E18" s="16">
        <f>E17-288.45-134</f>
        <v>54.55</v>
      </c>
      <c r="F18" s="16">
        <f>F17-288.45-134</f>
        <v>72.55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8.83333" defaultRowHeight="15" customHeight="1" outlineLevelRow="0" outlineLevelCol="0"/>
  <cols>
    <col min="1" max="1" width="35" style="44" customWidth="1"/>
    <col min="2" max="3" width="15" style="44" customWidth="1"/>
    <col min="4" max="5" width="8.85156" style="44" customWidth="1"/>
    <col min="6" max="16384" width="8.85156" style="44" customWidth="1"/>
  </cols>
  <sheetData>
    <row r="1" ht="17.9" customHeight="1">
      <c r="A1" t="s" s="7">
        <v>88</v>
      </c>
      <c r="B1" s="8"/>
      <c r="C1" s="8"/>
      <c r="D1" s="8"/>
      <c r="E1" s="8"/>
    </row>
    <row r="2" ht="13.55" customHeight="1">
      <c r="A2" s="10"/>
      <c r="B2" s="8"/>
      <c r="C2" s="8"/>
      <c r="D2" s="8"/>
      <c r="E2" s="8"/>
    </row>
    <row r="3" ht="13.55" customHeight="1">
      <c r="A3" t="s" s="11">
        <v>89</v>
      </c>
      <c r="B3" s="12"/>
      <c r="C3" s="8"/>
      <c r="D3" s="8"/>
      <c r="E3" s="8"/>
    </row>
    <row r="4" ht="13.55" customHeight="1">
      <c r="A4" s="23"/>
      <c r="B4" s="8"/>
      <c r="C4" s="8"/>
      <c r="D4" s="8"/>
      <c r="E4" s="8"/>
    </row>
    <row r="5" ht="15.35" customHeight="1">
      <c r="A5" t="s" s="9">
        <v>90</v>
      </c>
      <c r="B5" s="45">
        <f>'Monthly P&amp;L'!N6</f>
        <v>11874.150672384</v>
      </c>
      <c r="C5" s="8"/>
      <c r="D5" s="8"/>
      <c r="E5" s="8"/>
    </row>
    <row r="6" ht="15.35" customHeight="1">
      <c r="A6" t="s" s="9">
        <v>79</v>
      </c>
      <c r="B6" s="46">
        <f>'Monthly P&amp;L'!N7+'Monthly P&amp;L'!N8</f>
        <v>712.449040343040</v>
      </c>
      <c r="C6" s="8"/>
      <c r="D6" s="8"/>
      <c r="E6" s="8"/>
    </row>
    <row r="7" ht="13.55" customHeight="1">
      <c r="A7" s="10"/>
      <c r="B7" s="8"/>
      <c r="C7" s="8"/>
      <c r="D7" s="8"/>
      <c r="E7" s="8"/>
    </row>
    <row r="8" ht="13.55" customHeight="1">
      <c r="A8" t="s" s="11">
        <v>91</v>
      </c>
      <c r="B8" s="12"/>
      <c r="C8" s="8"/>
      <c r="D8" s="8"/>
      <c r="E8" s="8"/>
    </row>
    <row r="9" ht="15.35" customHeight="1">
      <c r="A9" t="s" s="13">
        <v>86</v>
      </c>
      <c r="B9" s="47">
        <f>'Monthly P&amp;L'!N13</f>
        <v>21373.4712102912</v>
      </c>
      <c r="C9" s="8"/>
      <c r="D9" s="8"/>
      <c r="E9" s="8"/>
    </row>
    <row r="10" ht="15.35" customHeight="1">
      <c r="A10" t="s" s="9">
        <v>92</v>
      </c>
      <c r="B10" s="48">
        <f>'Monthly P&amp;L'!N23</f>
        <v>8863.061985353510</v>
      </c>
      <c r="C10" s="8"/>
      <c r="D10" s="8"/>
      <c r="E10" s="8"/>
    </row>
    <row r="11" ht="15.35" customHeight="1">
      <c r="A11" t="s" s="38">
        <v>82</v>
      </c>
      <c r="B11" s="49">
        <f>'Monthly P&amp;L'!N29</f>
        <v>8863.061985353510</v>
      </c>
      <c r="C11" s="12"/>
      <c r="D11" s="8"/>
      <c r="E11" s="8"/>
    </row>
    <row r="12" ht="13.55" customHeight="1">
      <c r="A12" s="10"/>
      <c r="B12" s="23"/>
      <c r="C12" s="8"/>
      <c r="D12" s="8"/>
      <c r="E12" s="8"/>
    </row>
    <row r="13" ht="13.55" customHeight="1">
      <c r="A13" t="s" s="11">
        <v>93</v>
      </c>
      <c r="B13" s="12"/>
      <c r="C13" s="8"/>
      <c r="D13" s="8"/>
      <c r="E13" s="8"/>
    </row>
    <row r="14" ht="13.55" customHeight="1">
      <c r="A14" s="23"/>
      <c r="B14" s="8"/>
      <c r="C14" s="8"/>
      <c r="D14" s="8"/>
      <c r="E14" s="8"/>
    </row>
    <row r="15" ht="13.55" customHeight="1">
      <c r="A15" t="s" s="15">
        <v>94</v>
      </c>
      <c r="B15" s="8"/>
      <c r="C15" s="8"/>
      <c r="D15" s="8"/>
      <c r="E15" s="8"/>
    </row>
    <row r="16" ht="13.55" customHeight="1">
      <c r="A16" t="s" s="9">
        <v>95</v>
      </c>
      <c r="B16" s="14">
        <v>15</v>
      </c>
      <c r="C16" s="8"/>
      <c r="D16" s="8"/>
      <c r="E16" s="8"/>
    </row>
    <row r="17" ht="13.55" customHeight="1">
      <c r="A17" t="s" s="9">
        <v>96</v>
      </c>
      <c r="B17" s="14">
        <v>1.26</v>
      </c>
      <c r="C17" s="8"/>
      <c r="D17" s="8"/>
      <c r="E17" s="8"/>
    </row>
    <row r="18" ht="13.55" customHeight="1">
      <c r="A18" t="s" s="9">
        <v>97</v>
      </c>
      <c r="B18" s="16">
        <v>13.74</v>
      </c>
      <c r="C18" t="s" s="9">
        <v>98</v>
      </c>
      <c r="D18" s="8"/>
      <c r="E18" s="8"/>
    </row>
    <row r="19" ht="13.55" customHeight="1">
      <c r="A19" s="8"/>
      <c r="B19" s="8"/>
      <c r="C19" s="8"/>
      <c r="D19" s="8"/>
      <c r="E19" s="8"/>
    </row>
    <row r="20" ht="13.55" customHeight="1">
      <c r="A20" t="s" s="15">
        <v>99</v>
      </c>
      <c r="B20" s="8"/>
      <c r="C20" s="8"/>
      <c r="D20" s="8"/>
      <c r="E20" s="8"/>
    </row>
    <row r="21" ht="13.55" customHeight="1">
      <c r="A21" t="s" s="9">
        <v>95</v>
      </c>
      <c r="B21" s="14">
        <v>45</v>
      </c>
      <c r="C21" s="8"/>
      <c r="D21" s="8"/>
      <c r="E21" s="8"/>
    </row>
    <row r="22" ht="13.55" customHeight="1">
      <c r="A22" t="s" s="9">
        <v>96</v>
      </c>
      <c r="B22" s="14">
        <v>28.63</v>
      </c>
      <c r="C22" s="8"/>
      <c r="D22" s="8"/>
      <c r="E22" s="8"/>
    </row>
    <row r="23" ht="13.55" customHeight="1">
      <c r="A23" t="s" s="9">
        <v>97</v>
      </c>
      <c r="B23" s="16">
        <v>16.37</v>
      </c>
      <c r="C23" t="s" s="9">
        <v>100</v>
      </c>
      <c r="D23" s="8"/>
      <c r="E23" s="8"/>
    </row>
    <row r="24" ht="13.55" customHeight="1">
      <c r="A24" s="10"/>
      <c r="B24" s="8"/>
      <c r="C24" s="8"/>
      <c r="D24" s="8"/>
      <c r="E24" s="8"/>
    </row>
    <row r="25" ht="13.55" customHeight="1">
      <c r="A25" t="s" s="11">
        <v>101</v>
      </c>
      <c r="B25" s="12"/>
      <c r="C25" s="8"/>
      <c r="D25" s="8"/>
      <c r="E25" s="8"/>
    </row>
    <row r="26" ht="13.55" customHeight="1">
      <c r="A26" t="s" s="13">
        <v>71</v>
      </c>
      <c r="B26" s="14">
        <v>134</v>
      </c>
      <c r="C26" s="8"/>
      <c r="D26" s="8"/>
      <c r="E26" s="8"/>
    </row>
    <row r="27" ht="13.55" customHeight="1">
      <c r="A27" t="s" s="9">
        <v>102</v>
      </c>
      <c r="B27" s="50">
        <v>262</v>
      </c>
      <c r="C27" s="8"/>
      <c r="D27" s="8"/>
      <c r="E27" s="8"/>
    </row>
    <row r="28" ht="13.55" customHeight="1">
      <c r="A28" t="s" s="9">
        <v>103</v>
      </c>
      <c r="B28" s="51">
        <v>10.5</v>
      </c>
      <c r="C28" s="8"/>
      <c r="D28" s="8"/>
      <c r="E28"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